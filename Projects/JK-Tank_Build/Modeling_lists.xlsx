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\Desktop\Projects\e3d_agent\Projects\JK-Project\"/>
    </mc:Choice>
  </mc:AlternateContent>
  <xr:revisionPtr revIDLastSave="0" documentId="13_ncr:1_{44F77372-5C9C-4896-82D0-66BE40EEFD47}" xr6:coauthVersionLast="47" xr6:coauthVersionMax="47" xr10:uidLastSave="{00000000-0000-0000-0000-000000000000}"/>
  <bookViews>
    <workbookView xWindow="9555" yWindow="1080" windowWidth="16785" windowHeight="1291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<sst xmlns="http://schemas.openxmlformats.org/spreadsheetml/2006/main" count="192" uniqueCount="88">
  <si>
    <t>S.No.</t>
  </si>
  <si>
    <t>Equipment Tag No.</t>
  </si>
  <si>
    <t>Equipment Name / Description</t>
  </si>
  <si>
    <t>Process Area</t>
  </si>
  <si>
    <t>Discipline</t>
  </si>
  <si>
    <t>Hight（m）</t>
  </si>
  <si>
    <t>Volume（m3)</t>
  </si>
  <si>
    <t>Reference(Top_view)</t>
  </si>
  <si>
    <t>Reference(Side_view)</t>
  </si>
  <si>
    <t>203-TA-006</t>
  </si>
  <si>
    <t>BROWN STOCK WASHER FILTRATE TANK</t>
  </si>
  <si>
    <t>203 - Brown Stock / O2 Stage</t>
  </si>
  <si>
    <t>Tanks &amp; Vessels</t>
  </si>
  <si>
    <t>203-TA-019</t>
  </si>
  <si>
    <t>OXYGEN STAGE FEED TANK</t>
  </si>
  <si>
    <t>203-TA-024</t>
  </si>
  <si>
    <t>1st OXYGEN REACTOR</t>
  </si>
  <si>
    <t>Reactors &amp; Towers</t>
  </si>
  <si>
    <t>noreference</t>
  </si>
  <si>
    <t>203-TA-029</t>
  </si>
  <si>
    <t>2nd OXYGEN REACTOR</t>
  </si>
  <si>
    <t>203-TA-044</t>
  </si>
  <si>
    <t>INSTRUMENT AIR RECEIVER</t>
  </si>
  <si>
    <t>（No Reference）</t>
  </si>
  <si>
    <t>204-TA-001</t>
  </si>
  <si>
    <t>OXYGEN STAGE BLOW TANK</t>
  </si>
  <si>
    <t>204 - Screening &amp; Washing</t>
  </si>
  <si>
    <t>（To Be Determined)</t>
  </si>
  <si>
    <t>204-TA-021</t>
  </si>
  <si>
    <t>PRIMARY SCREEN DROPLEG (204-TA-021/DROPLEG)</t>
  </si>
  <si>
    <t>204-TA-034</t>
  </si>
  <si>
    <t>SCREEN DILUTION TANK</t>
  </si>
  <si>
    <t>204-TA-035</t>
  </si>
  <si>
    <t>POST OXYGEN FILTRATE TANK</t>
  </si>
  <si>
    <t>205-TA-001</t>
  </si>
  <si>
    <t>UNBLEACHED PULP STORAGE TOWER</t>
  </si>
  <si>
    <t>205 - Bleaching Plant</t>
  </si>
  <si>
    <t>205-TA-008</t>
  </si>
  <si>
    <t>D0 TOWER</t>
  </si>
  <si>
    <t>205-TA-011</t>
  </si>
  <si>
    <t>D0 FILTRATE TANK</t>
  </si>
  <si>
    <t>205-TA-016</t>
  </si>
  <si>
    <t>205-TA-022</t>
  </si>
  <si>
    <t>EOP REACTOR</t>
  </si>
  <si>
    <t>205-TA-025</t>
  </si>
  <si>
    <t>EOP BLOW TANK</t>
  </si>
  <si>
    <t>205-TA-029</t>
  </si>
  <si>
    <t>EOP FILTRATE TANK</t>
  </si>
  <si>
    <t>205-TA-036</t>
  </si>
  <si>
    <t>EOP WASHER DROPLEG (205-TA-036/DROPLEG)</t>
  </si>
  <si>
    <t>205-TA-042</t>
  </si>
  <si>
    <t>D1 TOWER</t>
  </si>
  <si>
    <t>205-TA-045</t>
  </si>
  <si>
    <t>D1 FILTRATE TANK</t>
  </si>
  <si>
    <t>D1 WASHER DROPLEG (205-TA-052/DROPLEG)</t>
  </si>
  <si>
    <t>205-TA-056</t>
  </si>
  <si>
    <t>BLEACHED PULP STORAGE TOWER</t>
  </si>
  <si>
    <t>Outside9.9,inside6.47</t>
  </si>
  <si>
    <t>205-TA-059</t>
  </si>
  <si>
    <t>BLEACH PLANT SCRUBBER</t>
  </si>
  <si>
    <t>Feeders &amp; Specialty</t>
  </si>
  <si>
    <t>Ouside2.7,inside1.5</t>
  </si>
  <si>
    <t>(12005,-3752,300)</t>
  </si>
  <si>
    <t>(16609,-3752,300)</t>
  </si>
  <si>
    <t>(21008,-4151,300)</t>
  </si>
  <si>
    <t>(26863,-11601,300)</t>
  </si>
  <si>
    <t>(34016,-4501,300)</t>
  </si>
  <si>
    <t>(38469,-4401,300)</t>
  </si>
  <si>
    <t>(43067,-4501,300)</t>
  </si>
  <si>
    <t>(49380,-5003,300)</t>
  </si>
  <si>
    <t>(49515,-9553,300)</t>
  </si>
  <si>
    <t>reference</t>
  </si>
  <si>
    <r>
      <t>Diameter</t>
    </r>
    <r>
      <rPr>
        <b/>
        <sz val="11"/>
        <color rgb="FFFFFFFF"/>
        <rFont val="SimSun"/>
        <family val="3"/>
        <charset val="134"/>
      </rPr>
      <t>（</t>
    </r>
    <r>
      <rPr>
        <b/>
        <sz val="11"/>
        <color rgb="FFFFFFFF"/>
        <rFont val="Times New Roman"/>
        <family val="1"/>
      </rPr>
      <t>m</t>
    </r>
    <r>
      <rPr>
        <b/>
        <sz val="11"/>
        <color rgb="FFFFFFFF"/>
        <rFont val="SimSun"/>
        <family val="3"/>
        <charset val="134"/>
      </rPr>
      <t>）</t>
    </r>
    <r>
      <rPr>
        <b/>
        <sz val="11"/>
        <color rgb="FFFFFFFF"/>
        <rFont val="Times New Roman"/>
        <family val="1"/>
      </rPr>
      <t>/TOP View</t>
    </r>
    <phoneticPr fontId="2" type="noConversion"/>
  </si>
  <si>
    <t>205-TA-052</t>
    <phoneticPr fontId="2" type="noConversion"/>
  </si>
  <si>
    <t>D0 WASHER DROPLEG (205-TA-016/DROPLEG)</t>
    <phoneticPr fontId="2" type="noConversion"/>
  </si>
  <si>
    <t>(15000,19860,300)</t>
  </si>
  <si>
    <t>(15445,6415,300)</t>
  </si>
  <si>
    <t>(11601,3981,300)</t>
  </si>
  <si>
    <t>(23650,6000,300)</t>
  </si>
  <si>
    <t>(22512,21358,300)</t>
  </si>
  <si>
    <t>(27013,19860,300)</t>
  </si>
  <si>
    <t>(33067,19057,300)</t>
  </si>
  <si>
    <t>(33833,6000,300)</t>
  </si>
  <si>
    <t>(39418,19057,300)</t>
  </si>
  <si>
    <t>(41833,6000,300)</t>
  </si>
  <si>
    <t>(47423,19057,300)</t>
  </si>
  <si>
    <t>(49838,6000,300)</t>
  </si>
  <si>
    <t>(67030,21008,300)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</si>
</sst>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b/>
      <sz val="11"/>
      <color rgb="FFFFFFFF"/>
      <name val="Times New Roman"/>
      <family val="1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宋体"/>
      <family val="3"/>
      <charset val="134"/>
    </font>
    <font>
      <sz val="12"/>
      <color theme="10"/>
      <name val="宋体"/>
      <family val="2"/>
      <scheme val="minor"/>
    </font>
    <font>
      <b/>
      <sz val="11"/>
      <color rgb="FFFFFFFF"/>
      <name val="SimSun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9FAF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1"/>
    <xf numFmtId="0" fontId="1" fillId="2" borderId="2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odel_Reference(All_Top_View)/203-TA-044.png" TargetMode="External"/><Relationship Id="rId13" Type="http://schemas.openxmlformats.org/officeDocument/2006/relationships/hyperlink" Target="Model_Reference(All_Top_View)/204-TA-034.png" TargetMode="External"/><Relationship Id="rId18" Type="http://schemas.openxmlformats.org/officeDocument/2006/relationships/hyperlink" Target="Model_reference(Part_Side_View)/205-TA-001.png" TargetMode="External"/><Relationship Id="rId26" Type="http://schemas.openxmlformats.org/officeDocument/2006/relationships/hyperlink" Target="Model_Reference(All_Top_View)/205-TA-029.png" TargetMode="External"/><Relationship Id="rId3" Type="http://schemas.openxmlformats.org/officeDocument/2006/relationships/hyperlink" Target="Model_Reference(All_Top_View)/203-TA-019.png" TargetMode="External"/><Relationship Id="rId21" Type="http://schemas.openxmlformats.org/officeDocument/2006/relationships/hyperlink" Target="Model_Reference(All_Top_View)/205-TA-011.png" TargetMode="External"/><Relationship Id="rId7" Type="http://schemas.openxmlformats.org/officeDocument/2006/relationships/hyperlink" Target="Model_reference(Part_Side_View)/203-TA-029.png" TargetMode="External"/><Relationship Id="rId12" Type="http://schemas.openxmlformats.org/officeDocument/2006/relationships/hyperlink" Target="Model_reference(Part_Side_View)/204-TA-021.png" TargetMode="External"/><Relationship Id="rId17" Type="http://schemas.openxmlformats.org/officeDocument/2006/relationships/hyperlink" Target="Model_Reference(All_Top_View)/205-TA-001.png" TargetMode="External"/><Relationship Id="rId25" Type="http://schemas.openxmlformats.org/officeDocument/2006/relationships/hyperlink" Target="Model_Reference(All_Top_View)/205-TA-025.png" TargetMode="External"/><Relationship Id="rId2" Type="http://schemas.openxmlformats.org/officeDocument/2006/relationships/hyperlink" Target="Model_reference(Part_Side_View)/203-TA-006.png" TargetMode="External"/><Relationship Id="rId16" Type="http://schemas.openxmlformats.org/officeDocument/2006/relationships/hyperlink" Target="Model_reference(Part_Side_View)/204-TA-035.png" TargetMode="External"/><Relationship Id="rId20" Type="http://schemas.openxmlformats.org/officeDocument/2006/relationships/hyperlink" Target="Model_reference(Part_Side_View)/205-TA-008.png" TargetMode="External"/><Relationship Id="rId29" Type="http://schemas.openxmlformats.org/officeDocument/2006/relationships/hyperlink" Target="Model_Reference(All_Top_View)/205-TA-045.png" TargetMode="External"/><Relationship Id="rId1" Type="http://schemas.openxmlformats.org/officeDocument/2006/relationships/hyperlink" Target="Model_Reference(All_Top_View)/203-TA-006.png" TargetMode="External"/><Relationship Id="rId6" Type="http://schemas.openxmlformats.org/officeDocument/2006/relationships/hyperlink" Target="Model_Reference(All_Top_View)/203-TA-029.png" TargetMode="External"/><Relationship Id="rId11" Type="http://schemas.openxmlformats.org/officeDocument/2006/relationships/hyperlink" Target="Model_Reference(All_Top_View)/204-TA-021.png" TargetMode="External"/><Relationship Id="rId24" Type="http://schemas.openxmlformats.org/officeDocument/2006/relationships/hyperlink" Target="Model_Reference(All_Top_View)/205-TA-022.png" TargetMode="External"/><Relationship Id="rId5" Type="http://schemas.openxmlformats.org/officeDocument/2006/relationships/hyperlink" Target="Model_reference(Part_Side_View)/203-TA-024.png" TargetMode="External"/><Relationship Id="rId15" Type="http://schemas.openxmlformats.org/officeDocument/2006/relationships/hyperlink" Target="Model_Reference(All_Top_View)/204-TA-035.png" TargetMode="External"/><Relationship Id="rId23" Type="http://schemas.openxmlformats.org/officeDocument/2006/relationships/hyperlink" Target="Model_Reference(All_Top_View)/205-TA-016.png" TargetMode="External"/><Relationship Id="rId28" Type="http://schemas.openxmlformats.org/officeDocument/2006/relationships/hyperlink" Target="Model_Reference(All_Top_View)/205-TA-042.png" TargetMode="External"/><Relationship Id="rId10" Type="http://schemas.openxmlformats.org/officeDocument/2006/relationships/hyperlink" Target="Model_reference(Part_Side_View)/204-TA-001.png" TargetMode="External"/><Relationship Id="rId19" Type="http://schemas.openxmlformats.org/officeDocument/2006/relationships/hyperlink" Target="Model_Reference(All_Top_View)/205-TA-008.png" TargetMode="External"/><Relationship Id="rId31" Type="http://schemas.openxmlformats.org/officeDocument/2006/relationships/hyperlink" Target="Model_Reference(All_Top_View)/205-TA-056.png" TargetMode="External"/><Relationship Id="rId4" Type="http://schemas.openxmlformats.org/officeDocument/2006/relationships/hyperlink" Target="Model_reference(Part_Side_View)/203-TA-019.png" TargetMode="External"/><Relationship Id="rId9" Type="http://schemas.openxmlformats.org/officeDocument/2006/relationships/hyperlink" Target="Model_Reference(All_Top_View)/204-TA-001.png" TargetMode="External"/><Relationship Id="rId14" Type="http://schemas.openxmlformats.org/officeDocument/2006/relationships/hyperlink" Target="Model_reference(Part_Side_View)/204-TA-034.png" TargetMode="External"/><Relationship Id="rId22" Type="http://schemas.openxmlformats.org/officeDocument/2006/relationships/hyperlink" Target="Model_reference(Part_Side_View)/205-TA-011.png" TargetMode="External"/><Relationship Id="rId27" Type="http://schemas.openxmlformats.org/officeDocument/2006/relationships/hyperlink" Target="Model_Reference(All_Top_View)/205-TA-036.png" TargetMode="External"/><Relationship Id="rId30" Type="http://schemas.openxmlformats.org/officeDocument/2006/relationships/hyperlink" Target="Model_Reference(All_Top_View)/205-TA-05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C1" zoomScaleNormal="100" workbookViewId="0">
      <selection activeCell="G13" sqref="G13"/>
    </sheetView>
  </sheetViews>
  <sheetFormatPr defaultColWidth="9" defaultRowHeight="13.5"/>
  <cols>
    <col min="1" max="1" width="10.625" style="15" customWidth="1"/>
    <col min="2" max="2" width="26.5" style="15" customWidth="1"/>
    <col min="3" max="3" width="47.625" style="15" customWidth="1"/>
    <col min="4" max="4" width="26.375" style="15" customWidth="1"/>
    <col min="5" max="5" width="25.5" style="15" customWidth="1"/>
    <col min="6" max="6" width="23.75" style="22" customWidth="1"/>
    <col min="7" max="7" width="23.875" style="15" customWidth="1"/>
    <col min="8" max="8" width="25.375" style="15" customWidth="1"/>
    <col min="9" max="9" width="19.25" style="15" customWidth="1"/>
    <col min="10" max="10" width="25.375" style="15" customWidth="1"/>
    <col min="11" max="11" width="33.125" style="15" customWidth="1"/>
  </cols>
  <sheetData>
    <row r="1" spans="1:1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/>
      <c r="G1" s="2" t="s">
        <v>5</v>
      </c>
      <c r="H1" s="2" t="s">
        <v>72</v>
      </c>
      <c r="I1" s="2" t="s">
        <v>6</v>
      </c>
      <c r="J1" s="17" t="s">
        <v>7</v>
      </c>
      <c r="K1" s="2" t="s">
        <v>8</v>
      </c>
    </row>
    <row r="2" spans="1:11" ht="15" customHeight="1">
      <c r="A2" s="3">
        <f t="shared" ref="A2:A23" si="0">ROW(A2)-1</f>
        <v>1</v>
      </c>
      <c r="B2" s="4" t="s">
        <v>9</v>
      </c>
      <c r="C2" s="3" t="s">
        <v>10</v>
      </c>
      <c r="D2" s="3" t="s">
        <v>11</v>
      </c>
      <c r="E2" s="3" t="s">
        <v>12</v>
      </c>
      <c r="F2" s="19" t="s">
        <v>75</v>
      </c>
      <c r="G2" s="5">
        <v>9.1999999999999993</v>
      </c>
      <c r="H2" s="5">
        <v>5.6</v>
      </c>
      <c r="I2" s="5">
        <v>197</v>
      </c>
      <c r="J2" s="16" t="s">
        <v>71</v>
      </c>
      <c r="K2" s="16" t="s">
        <v>71</v>
      </c>
    </row>
    <row r="3" spans="1:11" ht="15" customHeight="1">
      <c r="A3" s="3">
        <f t="shared" si="0"/>
        <v>2</v>
      </c>
      <c r="B3" s="6" t="s">
        <v>13</v>
      </c>
      <c r="C3" s="7" t="s">
        <v>14</v>
      </c>
      <c r="D3" s="7" t="s">
        <v>11</v>
      </c>
      <c r="E3" s="7" t="s">
        <v>12</v>
      </c>
      <c r="F3" s="20" t="s">
        <v>76</v>
      </c>
      <c r="G3" s="5">
        <v>8.5</v>
      </c>
      <c r="H3" s="5">
        <v>2</v>
      </c>
      <c r="I3" s="8">
        <v>13</v>
      </c>
      <c r="J3" s="16" t="s">
        <v>71</v>
      </c>
      <c r="K3" s="16" t="s">
        <v>71</v>
      </c>
    </row>
    <row r="4" spans="1:11" ht="15" customHeight="1">
      <c r="A4" s="3">
        <f t="shared" si="0"/>
        <v>3</v>
      </c>
      <c r="B4" s="6" t="s">
        <v>15</v>
      </c>
      <c r="C4" s="7" t="s">
        <v>16</v>
      </c>
      <c r="D4" s="7" t="s">
        <v>11</v>
      </c>
      <c r="E4" s="7" t="s">
        <v>17</v>
      </c>
      <c r="F4" s="20" t="s">
        <v>62</v>
      </c>
      <c r="G4" s="5">
        <v>20.3</v>
      </c>
      <c r="H4" s="5">
        <v>2</v>
      </c>
      <c r="I4" s="8">
        <v>49</v>
      </c>
      <c r="J4" t="s">
        <v>18</v>
      </c>
      <c r="K4" s="16" t="s">
        <v>71</v>
      </c>
    </row>
    <row r="5" spans="1:11" ht="15" customHeight="1">
      <c r="A5" s="3">
        <f t="shared" si="0"/>
        <v>4</v>
      </c>
      <c r="B5" s="6" t="s">
        <v>19</v>
      </c>
      <c r="C5" s="7" t="s">
        <v>20</v>
      </c>
      <c r="D5" s="7" t="s">
        <v>11</v>
      </c>
      <c r="E5" s="7" t="s">
        <v>17</v>
      </c>
      <c r="F5" s="20" t="s">
        <v>63</v>
      </c>
      <c r="G5" s="5">
        <v>23.5</v>
      </c>
      <c r="H5" s="5">
        <v>2.6</v>
      </c>
      <c r="I5" s="5">
        <v>97</v>
      </c>
      <c r="J5" s="16" t="s">
        <v>71</v>
      </c>
      <c r="K5" s="16" t="s">
        <v>71</v>
      </c>
    </row>
    <row r="6" spans="1:11" ht="15" customHeight="1">
      <c r="A6" s="3">
        <f t="shared" si="0"/>
        <v>5</v>
      </c>
      <c r="B6" s="14" t="s">
        <v>21</v>
      </c>
      <c r="C6" s="9" t="s">
        <v>22</v>
      </c>
      <c r="D6" s="9" t="s">
        <v>11</v>
      </c>
      <c r="E6" s="9" t="s">
        <v>12</v>
      </c>
      <c r="F6" s="21" t="s">
        <v>77</v>
      </c>
      <c r="G6" s="10" t="s">
        <v>23</v>
      </c>
      <c r="H6" s="10">
        <v>0.8</v>
      </c>
      <c r="I6" s="10" t="s">
        <v>23</v>
      </c>
      <c r="J6" s="16" t="s">
        <v>71</v>
      </c>
      <c r="K6" t="s">
        <v>18</v>
      </c>
    </row>
    <row r="7" spans="1:11" ht="15" customHeight="1">
      <c r="A7" s="3">
        <f t="shared" si="0"/>
        <v>6</v>
      </c>
      <c r="B7" s="11" t="s">
        <v>24</v>
      </c>
      <c r="C7" s="3" t="s">
        <v>25</v>
      </c>
      <c r="D7" s="3" t="s">
        <v>26</v>
      </c>
      <c r="E7" s="3" t="s">
        <v>12</v>
      </c>
      <c r="F7" s="19" t="s">
        <v>64</v>
      </c>
      <c r="G7" s="5" t="s">
        <v>27</v>
      </c>
      <c r="H7" s="5">
        <v>3.2</v>
      </c>
      <c r="I7" s="10" t="s">
        <v>23</v>
      </c>
      <c r="J7" s="16" t="s">
        <v>71</v>
      </c>
      <c r="K7" s="16" t="s">
        <v>71</v>
      </c>
    </row>
    <row r="8" spans="1:11" ht="15" customHeight="1">
      <c r="A8" s="3">
        <f t="shared" si="0"/>
        <v>7</v>
      </c>
      <c r="B8" s="12" t="s">
        <v>28</v>
      </c>
      <c r="C8" s="7" t="s">
        <v>29</v>
      </c>
      <c r="D8" s="7" t="s">
        <v>26</v>
      </c>
      <c r="E8" s="7" t="s">
        <v>12</v>
      </c>
      <c r="F8" s="20" t="s">
        <v>78</v>
      </c>
      <c r="G8" s="5" t="s">
        <v>27</v>
      </c>
      <c r="H8" s="5">
        <v>0.71</v>
      </c>
      <c r="I8" s="10" t="s">
        <v>23</v>
      </c>
      <c r="J8" s="16" t="s">
        <v>71</v>
      </c>
      <c r="K8" s="16" t="s">
        <v>71</v>
      </c>
    </row>
    <row r="9" spans="1:11" ht="15" customHeight="1">
      <c r="A9" s="3">
        <f t="shared" si="0"/>
        <v>8</v>
      </c>
      <c r="B9" s="6" t="s">
        <v>30</v>
      </c>
      <c r="C9" s="7" t="s">
        <v>31</v>
      </c>
      <c r="D9" s="7" t="s">
        <v>26</v>
      </c>
      <c r="E9" s="7" t="s">
        <v>12</v>
      </c>
      <c r="F9" s="20" t="s">
        <v>79</v>
      </c>
      <c r="G9" s="5">
        <v>7.6</v>
      </c>
      <c r="H9" s="5">
        <v>2.2999999999999998</v>
      </c>
      <c r="I9" s="8">
        <v>29</v>
      </c>
      <c r="J9" s="16" t="s">
        <v>71</v>
      </c>
      <c r="K9" s="16" t="s">
        <v>71</v>
      </c>
    </row>
    <row r="10" spans="1:11" ht="15" customHeight="1">
      <c r="A10" s="3">
        <f t="shared" si="0"/>
        <v>9</v>
      </c>
      <c r="B10" s="4" t="s">
        <v>32</v>
      </c>
      <c r="C10" s="3" t="s">
        <v>33</v>
      </c>
      <c r="D10" s="3" t="s">
        <v>26</v>
      </c>
      <c r="E10" s="3" t="s">
        <v>12</v>
      </c>
      <c r="F10" s="19" t="s">
        <v>80</v>
      </c>
      <c r="G10" s="5">
        <v>7.6</v>
      </c>
      <c r="H10" s="5">
        <v>5.6</v>
      </c>
      <c r="I10" s="8">
        <v>158</v>
      </c>
      <c r="J10" s="16" t="s">
        <v>71</v>
      </c>
      <c r="K10" s="16" t="s">
        <v>71</v>
      </c>
    </row>
    <row r="11" spans="1:11" ht="15" customHeight="1">
      <c r="A11" s="3">
        <f t="shared" si="0"/>
        <v>10</v>
      </c>
      <c r="B11" s="6" t="s">
        <v>34</v>
      </c>
      <c r="C11" s="7" t="s">
        <v>35</v>
      </c>
      <c r="D11" s="7" t="s">
        <v>36</v>
      </c>
      <c r="E11" s="7" t="s">
        <v>17</v>
      </c>
      <c r="F11" s="20" t="s">
        <v>65</v>
      </c>
      <c r="G11" s="5">
        <v>26.4</v>
      </c>
      <c r="H11" s="5">
        <v>9</v>
      </c>
      <c r="I11" s="8">
        <v>1000</v>
      </c>
      <c r="J11" s="16" t="s">
        <v>71</v>
      </c>
      <c r="K11" s="16" t="s">
        <v>71</v>
      </c>
    </row>
    <row r="12" spans="1:11" ht="15" customHeight="1">
      <c r="A12" s="3">
        <f t="shared" si="0"/>
        <v>11</v>
      </c>
      <c r="B12" s="6" t="s">
        <v>37</v>
      </c>
      <c r="C12" s="7" t="s">
        <v>38</v>
      </c>
      <c r="D12" s="7" t="s">
        <v>36</v>
      </c>
      <c r="E12" s="7" t="s">
        <v>17</v>
      </c>
      <c r="F12" s="20" t="s">
        <v>66</v>
      </c>
      <c r="G12" s="5">
        <v>2.6</v>
      </c>
      <c r="H12" s="5">
        <v>18.600000000000001</v>
      </c>
      <c r="I12" s="8">
        <v>65</v>
      </c>
      <c r="J12" s="16" t="s">
        <v>71</v>
      </c>
      <c r="K12" s="16" t="s">
        <v>71</v>
      </c>
    </row>
    <row r="13" spans="1:11" ht="15" customHeight="1">
      <c r="A13" s="3">
        <f t="shared" si="0"/>
        <v>12</v>
      </c>
      <c r="B13" s="4" t="s">
        <v>39</v>
      </c>
      <c r="C13" s="3" t="s">
        <v>40</v>
      </c>
      <c r="D13" s="3" t="s">
        <v>36</v>
      </c>
      <c r="E13" s="3" t="s">
        <v>12</v>
      </c>
      <c r="F13" s="19" t="s">
        <v>81</v>
      </c>
      <c r="G13" s="5">
        <v>4</v>
      </c>
      <c r="H13" s="5">
        <v>5.3</v>
      </c>
      <c r="I13" s="5">
        <v>63</v>
      </c>
      <c r="J13" s="16" t="s">
        <v>71</v>
      </c>
      <c r="K13" s="16" t="s">
        <v>71</v>
      </c>
    </row>
    <row r="14" spans="1:11" ht="15" customHeight="1">
      <c r="A14" s="3">
        <f t="shared" si="0"/>
        <v>13</v>
      </c>
      <c r="B14" s="12" t="s">
        <v>41</v>
      </c>
      <c r="C14" s="7" t="s">
        <v>74</v>
      </c>
      <c r="D14" s="7" t="s">
        <v>36</v>
      </c>
      <c r="E14" s="7" t="s">
        <v>12</v>
      </c>
      <c r="F14" s="20" t="s">
        <v>82</v>
      </c>
      <c r="G14" s="5" t="s">
        <v>27</v>
      </c>
      <c r="H14" s="5">
        <v>1.05</v>
      </c>
      <c r="I14" s="13" t="s">
        <v>23</v>
      </c>
      <c r="J14" s="16" t="s">
        <v>71</v>
      </c>
      <c r="K14" t="s">
        <v>18</v>
      </c>
    </row>
    <row r="15" spans="1:11" ht="15" customHeight="1">
      <c r="A15" s="3">
        <f t="shared" si="0"/>
        <v>14</v>
      </c>
      <c r="B15" s="11" t="s">
        <v>42</v>
      </c>
      <c r="C15" s="3" t="s">
        <v>43</v>
      </c>
      <c r="D15" s="3" t="s">
        <v>36</v>
      </c>
      <c r="E15" s="3" t="s">
        <v>17</v>
      </c>
      <c r="F15" s="19" t="s">
        <v>67</v>
      </c>
      <c r="G15" s="5" t="s">
        <v>27</v>
      </c>
      <c r="H15" s="5">
        <v>2.8</v>
      </c>
      <c r="I15" s="13" t="s">
        <v>23</v>
      </c>
      <c r="J15" s="16" t="s">
        <v>71</v>
      </c>
      <c r="K15" t="s">
        <v>18</v>
      </c>
    </row>
    <row r="16" spans="1:11" ht="15" customHeight="1">
      <c r="A16" s="3">
        <f t="shared" si="0"/>
        <v>15</v>
      </c>
      <c r="B16" s="11" t="s">
        <v>44</v>
      </c>
      <c r="C16" s="3" t="s">
        <v>45</v>
      </c>
      <c r="D16" s="3" t="s">
        <v>36</v>
      </c>
      <c r="E16" s="3" t="s">
        <v>12</v>
      </c>
      <c r="F16" s="19" t="s">
        <v>68</v>
      </c>
      <c r="G16" s="5" t="s">
        <v>27</v>
      </c>
      <c r="H16" s="5">
        <v>3.2</v>
      </c>
      <c r="I16" s="13" t="s">
        <v>23</v>
      </c>
      <c r="J16" s="16" t="s">
        <v>71</v>
      </c>
      <c r="K16" t="s">
        <v>18</v>
      </c>
    </row>
    <row r="17" spans="1:11" ht="15" customHeight="1">
      <c r="A17" s="3">
        <f t="shared" si="0"/>
        <v>16</v>
      </c>
      <c r="B17" s="12" t="s">
        <v>46</v>
      </c>
      <c r="C17" s="7" t="s">
        <v>47</v>
      </c>
      <c r="D17" s="7" t="s">
        <v>36</v>
      </c>
      <c r="E17" s="7" t="s">
        <v>12</v>
      </c>
      <c r="F17" s="20" t="s">
        <v>83</v>
      </c>
      <c r="G17" s="5" t="s">
        <v>27</v>
      </c>
      <c r="H17" s="10">
        <v>3.57</v>
      </c>
      <c r="I17" s="13" t="s">
        <v>23</v>
      </c>
      <c r="J17" s="16" t="s">
        <v>71</v>
      </c>
      <c r="K17" t="s">
        <v>18</v>
      </c>
    </row>
    <row r="18" spans="1:11" ht="15" customHeight="1">
      <c r="A18" s="3">
        <f t="shared" si="0"/>
        <v>17</v>
      </c>
      <c r="B18" s="12" t="s">
        <v>48</v>
      </c>
      <c r="C18" s="7" t="s">
        <v>49</v>
      </c>
      <c r="D18" s="7" t="s">
        <v>36</v>
      </c>
      <c r="E18" s="7" t="s">
        <v>12</v>
      </c>
      <c r="F18" s="20" t="s">
        <v>84</v>
      </c>
      <c r="G18" s="5" t="s">
        <v>27</v>
      </c>
      <c r="H18" s="5">
        <v>1.05</v>
      </c>
      <c r="I18" s="13" t="s">
        <v>23</v>
      </c>
      <c r="J18" s="16" t="s">
        <v>71</v>
      </c>
      <c r="K18" t="s">
        <v>18</v>
      </c>
    </row>
    <row r="19" spans="1:11" ht="15" customHeight="1">
      <c r="A19" s="3">
        <f t="shared" si="0"/>
        <v>18</v>
      </c>
      <c r="B19" s="11" t="s">
        <v>50</v>
      </c>
      <c r="C19" s="3" t="s">
        <v>51</v>
      </c>
      <c r="D19" s="3" t="s">
        <v>36</v>
      </c>
      <c r="E19" s="3" t="s">
        <v>17</v>
      </c>
      <c r="F19" s="19" t="s">
        <v>69</v>
      </c>
      <c r="G19" s="5" t="s">
        <v>27</v>
      </c>
      <c r="H19" s="5">
        <v>3.65</v>
      </c>
      <c r="I19" s="13" t="s">
        <v>23</v>
      </c>
      <c r="J19" s="16" t="s">
        <v>71</v>
      </c>
      <c r="K19" t="s">
        <v>18</v>
      </c>
    </row>
    <row r="20" spans="1:11" ht="15" customHeight="1">
      <c r="A20" s="3">
        <f t="shared" si="0"/>
        <v>19</v>
      </c>
      <c r="B20" s="12" t="s">
        <v>52</v>
      </c>
      <c r="C20" s="7" t="s">
        <v>53</v>
      </c>
      <c r="D20" s="7" t="s">
        <v>36</v>
      </c>
      <c r="E20" s="7" t="s">
        <v>12</v>
      </c>
      <c r="F20" s="20" t="s">
        <v>85</v>
      </c>
      <c r="G20" s="5" t="s">
        <v>27</v>
      </c>
      <c r="H20" s="5">
        <v>3.5</v>
      </c>
      <c r="I20" s="13" t="s">
        <v>23</v>
      </c>
      <c r="J20" s="16" t="s">
        <v>71</v>
      </c>
      <c r="K20" t="s">
        <v>18</v>
      </c>
    </row>
    <row r="21" spans="1:11" ht="15" customHeight="1">
      <c r="A21" s="3">
        <f t="shared" si="0"/>
        <v>20</v>
      </c>
      <c r="B21" s="11" t="s">
        <v>73</v>
      </c>
      <c r="C21" s="3" t="s">
        <v>54</v>
      </c>
      <c r="D21" s="3" t="s">
        <v>36</v>
      </c>
      <c r="E21" s="3" t="s">
        <v>12</v>
      </c>
      <c r="F21" s="19" t="s">
        <v>86</v>
      </c>
      <c r="G21" s="5" t="s">
        <v>27</v>
      </c>
      <c r="H21" s="5">
        <v>1.05</v>
      </c>
      <c r="I21" s="13" t="s">
        <v>23</v>
      </c>
      <c r="J21" s="16" t="s">
        <v>71</v>
      </c>
      <c r="K21" t="s">
        <v>18</v>
      </c>
    </row>
    <row r="22" spans="1:11" ht="15" customHeight="1">
      <c r="A22" s="3">
        <f t="shared" si="0"/>
        <v>21</v>
      </c>
      <c r="B22" s="11" t="s">
        <v>55</v>
      </c>
      <c r="C22" s="3" t="s">
        <v>56</v>
      </c>
      <c r="D22" s="3" t="s">
        <v>36</v>
      </c>
      <c r="E22" s="3" t="s">
        <v>17</v>
      </c>
      <c r="F22" s="19" t="s">
        <v>87</v>
      </c>
      <c r="G22" s="5" t="s">
        <v>27</v>
      </c>
      <c r="H22" s="13" t="s">
        <v>57</v>
      </c>
      <c r="I22" s="13" t="s">
        <v>23</v>
      </c>
      <c r="J22" s="16" t="s">
        <v>71</v>
      </c>
      <c r="K22" t="s">
        <v>18</v>
      </c>
    </row>
    <row r="23" spans="1:11" ht="15" customHeight="1">
      <c r="A23" s="3">
        <f t="shared" si="0"/>
        <v>22</v>
      </c>
      <c r="B23" s="11" t="s">
        <v>58</v>
      </c>
      <c r="C23" s="3" t="s">
        <v>59</v>
      </c>
      <c r="D23" s="3" t="s">
        <v>36</v>
      </c>
      <c r="E23" s="3" t="s">
        <v>60</v>
      </c>
      <c r="F23" s="19" t="s">
        <v>70</v>
      </c>
      <c r="G23" s="5" t="s">
        <v>27</v>
      </c>
      <c r="H23" s="13" t="s">
        <v>61</v>
      </c>
      <c r="I23" s="13" t="s">
        <v>23</v>
      </c>
      <c r="J23" t="s">
        <v>18</v>
      </c>
      <c r="K23" t="s">
        <v>18</v>
      </c>
    </row>
  </sheetData>
  <phoneticPr fontId="2" type="noConversion"/>
  <hyperlinks>
    <hyperlink ref="J2" r:id="rId1" display="参考图" xr:uid="{00000000-0004-0000-0000-000000000000}"/>
    <hyperlink ref="K2" r:id="rId2" display="参考图" xr:uid="{00000000-0004-0000-0000-000001000000}"/>
    <hyperlink ref="J3" r:id="rId3" display="参考图" xr:uid="{00000000-0004-0000-0000-000002000000}"/>
    <hyperlink ref="K3" r:id="rId4" display="参考图" xr:uid="{00000000-0004-0000-0000-000003000000}"/>
    <hyperlink ref="K4" r:id="rId5" display="参考图" xr:uid="{00000000-0004-0000-0000-000004000000}"/>
    <hyperlink ref="J5" r:id="rId6" display="参考图" xr:uid="{00000000-0004-0000-0000-000005000000}"/>
    <hyperlink ref="K5" r:id="rId7" display="参考图" xr:uid="{00000000-0004-0000-0000-000006000000}"/>
    <hyperlink ref="J6" r:id="rId8" display="参考图" xr:uid="{00000000-0004-0000-0000-000007000000}"/>
    <hyperlink ref="J7" r:id="rId9" display="参考图" xr:uid="{00000000-0004-0000-0000-000008000000}"/>
    <hyperlink ref="K7" r:id="rId10" display="参考图" xr:uid="{00000000-0004-0000-0000-000009000000}"/>
    <hyperlink ref="J8" r:id="rId11" display="参考图" xr:uid="{00000000-0004-0000-0000-00000A000000}"/>
    <hyperlink ref="K8" r:id="rId12" display="参考图" xr:uid="{00000000-0004-0000-0000-00000B000000}"/>
    <hyperlink ref="J9" r:id="rId13" display="参考图" xr:uid="{00000000-0004-0000-0000-00000C000000}"/>
    <hyperlink ref="K9" r:id="rId14" display="参考图" xr:uid="{00000000-0004-0000-0000-00000D000000}"/>
    <hyperlink ref="J10" r:id="rId15" display="参考图" xr:uid="{00000000-0004-0000-0000-00000E000000}"/>
    <hyperlink ref="K10" r:id="rId16" display="参考图" xr:uid="{00000000-0004-0000-0000-00000F000000}"/>
    <hyperlink ref="J11" r:id="rId17" display="参考图" xr:uid="{00000000-0004-0000-0000-000010000000}"/>
    <hyperlink ref="K11" r:id="rId18" display="参考图" xr:uid="{00000000-0004-0000-0000-000011000000}"/>
    <hyperlink ref="J12" r:id="rId19" display="参考图" xr:uid="{00000000-0004-0000-0000-000012000000}"/>
    <hyperlink ref="K12" r:id="rId20" display="参考图" xr:uid="{00000000-0004-0000-0000-000013000000}"/>
    <hyperlink ref="J13" r:id="rId21" display="参考图" xr:uid="{00000000-0004-0000-0000-000014000000}"/>
    <hyperlink ref="K13" r:id="rId22" display="参考图" xr:uid="{00000000-0004-0000-0000-000015000000}"/>
    <hyperlink ref="J14" r:id="rId23" display="参考图" xr:uid="{00000000-0004-0000-0000-000016000000}"/>
    <hyperlink ref="J15" r:id="rId24" display="参考图" xr:uid="{00000000-0004-0000-0000-000017000000}"/>
    <hyperlink ref="J16" r:id="rId25" display="参考图" xr:uid="{00000000-0004-0000-0000-000018000000}"/>
    <hyperlink ref="J17" r:id="rId26" display="参考图" xr:uid="{00000000-0004-0000-0000-000019000000}"/>
    <hyperlink ref="J18" r:id="rId27" display="参考图" xr:uid="{00000000-0004-0000-0000-00001A000000}"/>
    <hyperlink ref="J19" r:id="rId28" display="参考图" xr:uid="{00000000-0004-0000-0000-00001B000000}"/>
    <hyperlink ref="J20" r:id="rId29" display="参考图" xr:uid="{00000000-0004-0000-0000-00001C000000}"/>
    <hyperlink ref="J21" r:id="rId30" display="参考图" xr:uid="{00000000-0004-0000-0000-00001D000000}"/>
    <hyperlink ref="J22" r:id="rId31" display="参考图" xr:uid="{00000000-0004-0000-0000-00001E000000}"/>
  </hyperlinks>
  <pageMargins left="0.7" right="0.7" top="0.75" bottom="0.75" header="0.3" footer="0.3"/>
  <pageSetup paperSize="9" orientation="portrait"/>
  <ignoredErrors>
    <ignoredError sqref="F13:F14 F17:F18 F20:F22 F8:F10 F6 F2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YHL</dc:creator>
  <cp:lastModifiedBy>Hailong Yang</cp:lastModifiedBy>
  <dcterms:created xsi:type="dcterms:W3CDTF">2023-05-12T11:15:00Z</dcterms:created>
  <dcterms:modified xsi:type="dcterms:W3CDTF">2026-07-25T04:42:32Z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